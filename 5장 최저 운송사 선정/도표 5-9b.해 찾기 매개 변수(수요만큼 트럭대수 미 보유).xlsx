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82109\Desktop\3. ChatGPT최적화\도서\3. 실습자료_배포용\5장 최저 운송사 선정\"/>
    </mc:Choice>
  </mc:AlternateContent>
  <xr:revisionPtr revIDLastSave="0" documentId="13_ncr:1_{CFB942E8-7CA7-41B9-ACF1-4AA98E1B9CD8}" xr6:coauthVersionLast="47" xr6:coauthVersionMax="47" xr10:uidLastSave="{00000000-0000-0000-0000-000000000000}"/>
  <bookViews>
    <workbookView xWindow="38280" yWindow="1470" windowWidth="29040" windowHeight="15720" activeTab="1" xr2:uid="{630DB301-1ECF-43EA-85D2-CFD0AFDCF0FE}"/>
  </bookViews>
  <sheets>
    <sheet name="기준정보" sheetId="6" r:id="rId1"/>
    <sheet name="해 찾기" sheetId="16" r:id="rId2"/>
    <sheet name="트럭단위운송비최소화" sheetId="4" state="hidden" r:id="rId3"/>
    <sheet name="단순최적화정답" sheetId="11" state="hidden" r:id="rId4"/>
  </sheets>
  <definedNames>
    <definedName name="_ASK9501">#REF!</definedName>
    <definedName name="_ASK9502">#REF!</definedName>
    <definedName name="_ASK9503">#REF!</definedName>
    <definedName name="_ASK9504">#REF!</definedName>
    <definedName name="_ASK9505">#REF!</definedName>
    <definedName name="_ASK9506">#REF!</definedName>
    <definedName name="_ASK9507">#REF!</definedName>
    <definedName name="_ASK9508">#REF!</definedName>
    <definedName name="_ASK9509">#REF!</definedName>
    <definedName name="_ASK9510">#REF!</definedName>
    <definedName name="_ASK9511">#REF!</definedName>
    <definedName name="_ASK9512">#REF!</definedName>
    <definedName name="_ATK9501">#REF!</definedName>
    <definedName name="_ATK9502">#REF!</definedName>
    <definedName name="_ATK9503">#REF!</definedName>
    <definedName name="_ATK9504">#REF!</definedName>
    <definedName name="_ATK9505">#REF!</definedName>
    <definedName name="_ATK9506">#REF!</definedName>
    <definedName name="_ATK9507">#REF!</definedName>
    <definedName name="_ATK9508">#REF!</definedName>
    <definedName name="_ATK9509">#REF!</definedName>
    <definedName name="_ATK9510">#REF!</definedName>
    <definedName name="_ATK9511">#REF!</definedName>
    <definedName name="_ATK9512">#REF!</definedName>
    <definedName name="_FTK9501">#REF!</definedName>
    <definedName name="_FTK9502">#REF!</definedName>
    <definedName name="_FTK9503">#REF!</definedName>
    <definedName name="_FTK9504">#REF!</definedName>
    <definedName name="_FTK9505">#REF!</definedName>
    <definedName name="_FTK9506">#REF!</definedName>
    <definedName name="_FTK9507">#REF!</definedName>
    <definedName name="_FTK9508">#REF!</definedName>
    <definedName name="_FTK9509">#REF!</definedName>
    <definedName name="_FTK9510">#REF!</definedName>
    <definedName name="_FTK9511">#REF!</definedName>
    <definedName name="_FTK9512">#REF!</definedName>
    <definedName name="_RPK9501">#REF!</definedName>
    <definedName name="_RPK9502">#REF!</definedName>
    <definedName name="_RPK9503">#REF!</definedName>
    <definedName name="_RPK9504">#REF!</definedName>
    <definedName name="_RPK9505">#REF!</definedName>
    <definedName name="_RPK9506">#REF!</definedName>
    <definedName name="_RPK9507">#REF!</definedName>
    <definedName name="_RPK9508">#REF!</definedName>
    <definedName name="_RPK9509">#REF!</definedName>
    <definedName name="_RPK9510">#REF!</definedName>
    <definedName name="_RPK9511">#REF!</definedName>
    <definedName name="_RPK9512">#REF!</definedName>
    <definedName name="AA">#REF!</definedName>
    <definedName name="Carrier">#REF!</definedName>
    <definedName name="chk_ask">"Check Box 32"</definedName>
    <definedName name="chk_atk">"Check Box 34"</definedName>
    <definedName name="chk_ftk">"Check Box 33"</definedName>
    <definedName name="chk_plf">"Check Box 37"</definedName>
    <definedName name="chk_rpk">"Check Box 31"</definedName>
    <definedName name="DD_airline_code">"Drop Down 14"</definedName>
    <definedName name="DD_airline_name">"Drop Down 12"</definedName>
    <definedName name="DD_date_finish">"Drop Down 29"</definedName>
    <definedName name="DD_date_start">"Drop Down 27"</definedName>
    <definedName name="EB_worksheet_name">"Edit Box 41"</definedName>
    <definedName name="solver_adj" localSheetId="2" hidden="1">트럭단위운송비최소화!$E$2:$E$25</definedName>
    <definedName name="solver_adj" localSheetId="1" hidden="1">'해 찾기'!$F$2:$F$13</definedName>
    <definedName name="solver_cvg" localSheetId="2" hidden="1">0.0001</definedName>
    <definedName name="solver_cvg" localSheetId="1" hidden="1">0.0001</definedName>
    <definedName name="solver_drv" localSheetId="2" hidden="1">2</definedName>
    <definedName name="solver_drv" localSheetId="1" hidden="1">2</definedName>
    <definedName name="solver_eng" localSheetId="2" hidden="1">2</definedName>
    <definedName name="solver_eng" localSheetId="1" hidden="1">2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트럭단위운송비최소화!$E$2:$E$25</definedName>
    <definedName name="solver_lhs1" localSheetId="1" hidden="1">'해 찾기'!$F$2:$F$13</definedName>
    <definedName name="solver_lhs10" localSheetId="1" hidden="1">'해 찾기'!$M$5</definedName>
    <definedName name="solver_lhs11" localSheetId="1" hidden="1">'해 찾기'!$M$5</definedName>
    <definedName name="solver_lhs12" localSheetId="1" hidden="1">'해 찾기'!$M$5</definedName>
    <definedName name="solver_lhs13" localSheetId="1" hidden="1">'해 찾기'!$M$5</definedName>
    <definedName name="solver_lhs14" localSheetId="1" hidden="1">'해 찾기'!$M$5</definedName>
    <definedName name="solver_lhs15" localSheetId="1" hidden="1">'해 찾기'!$M$5</definedName>
    <definedName name="solver_lhs16" localSheetId="1" hidden="1">'해 찾기'!$M$5</definedName>
    <definedName name="solver_lhs17" localSheetId="1" hidden="1">'해 찾기'!$M$5</definedName>
    <definedName name="solver_lhs18" localSheetId="1" hidden="1">'해 찾기'!$M$5</definedName>
    <definedName name="solver_lhs2" localSheetId="2" hidden="1">트럭단위운송비최소화!$L$2</definedName>
    <definedName name="solver_lhs2" localSheetId="1" hidden="1">'해 찾기'!$F$2:$F$13</definedName>
    <definedName name="solver_lhs3" localSheetId="2" hidden="1">트럭단위운송비최소화!$L$3</definedName>
    <definedName name="solver_lhs3" localSheetId="1" hidden="1">'해 찾기'!$F$2:$F$13</definedName>
    <definedName name="solver_lhs4" localSheetId="2" hidden="1">트럭단위운송비최소화!$L$4</definedName>
    <definedName name="solver_lhs4" localSheetId="1" hidden="1">'해 찾기'!$M$2:$M$5</definedName>
    <definedName name="solver_lhs5" localSheetId="2" hidden="1">트럭단위운송비최소화!$L$5</definedName>
    <definedName name="solver_lhs5" localSheetId="1" hidden="1">'해 찾기'!$M$5</definedName>
    <definedName name="solver_lhs6" localSheetId="2" hidden="1">트럭단위운송비최소화!$L$5</definedName>
    <definedName name="solver_lhs6" localSheetId="1" hidden="1">'해 찾기'!$M$5</definedName>
    <definedName name="solver_lhs7" localSheetId="1" hidden="1">'해 찾기'!$M$5</definedName>
    <definedName name="solver_lhs8" localSheetId="1" hidden="1">'해 찾기'!$M$5</definedName>
    <definedName name="solver_lhs9" localSheetId="1" hidden="1">'해 찾기'!$M$5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5</definedName>
    <definedName name="solver_num" localSheetId="1" hidden="1">4</definedName>
    <definedName name="solver_nwt" localSheetId="2" hidden="1">1</definedName>
    <definedName name="solver_nwt" localSheetId="1" hidden="1">1</definedName>
    <definedName name="solver_opt" localSheetId="2" hidden="1">트럭단위운송비최소화!$O$1</definedName>
    <definedName name="solver_opt" localSheetId="1" hidden="1">'해 찾기'!$P$1</definedName>
    <definedName name="solver_pre" localSheetId="2" hidden="1">0.000001</definedName>
    <definedName name="solver_pre" localSheetId="1" hidden="1">0.000001</definedName>
    <definedName name="solver_rbv" localSheetId="2" hidden="1">2</definedName>
    <definedName name="solver_rbv" localSheetId="1" hidden="1">2</definedName>
    <definedName name="solver_rel1" localSheetId="2" hidden="1">5</definedName>
    <definedName name="solver_rel1" localSheetId="1" hidden="1">1</definedName>
    <definedName name="solver_rel10" localSheetId="1" hidden="1">3</definedName>
    <definedName name="solver_rel11" localSheetId="1" hidden="1">3</definedName>
    <definedName name="solver_rel12" localSheetId="1" hidden="1">3</definedName>
    <definedName name="solver_rel13" localSheetId="1" hidden="1">3</definedName>
    <definedName name="solver_rel14" localSheetId="1" hidden="1">3</definedName>
    <definedName name="solver_rel15" localSheetId="1" hidden="1">3</definedName>
    <definedName name="solver_rel16" localSheetId="1" hidden="1">3</definedName>
    <definedName name="solver_rel17" localSheetId="1" hidden="1">3</definedName>
    <definedName name="solver_rel18" localSheetId="1" hidden="1">3</definedName>
    <definedName name="solver_rel2" localSheetId="2" hidden="1">3</definedName>
    <definedName name="solver_rel2" localSheetId="1" hidden="1">4</definedName>
    <definedName name="solver_rel3" localSheetId="2" hidden="1">3</definedName>
    <definedName name="solver_rel3" localSheetId="1" hidden="1">3</definedName>
    <definedName name="solver_rel4" localSheetId="2" hidden="1">3</definedName>
    <definedName name="solver_rel4" localSheetId="1" hidden="1">2</definedName>
    <definedName name="solver_rel5" localSheetId="2" hidden="1">3</definedName>
    <definedName name="solver_rel5" localSheetId="1" hidden="1">3</definedName>
    <definedName name="solver_rel6" localSheetId="2" hidden="1">2</definedName>
    <definedName name="solver_rel6" localSheetId="1" hidden="1">3</definedName>
    <definedName name="solver_rel7" localSheetId="1" hidden="1">3</definedName>
    <definedName name="solver_rel8" localSheetId="1" hidden="1">3</definedName>
    <definedName name="solver_rel9" localSheetId="1" hidden="1">3</definedName>
    <definedName name="solver_rhs1" localSheetId="2" hidden="1">"2진수"</definedName>
    <definedName name="solver_rhs1" localSheetId="1" hidden="1">'해 찾기'!$E$2:$E$13</definedName>
    <definedName name="solver_rhs10" localSheetId="1" hidden="1">'해 찾기'!$L$5</definedName>
    <definedName name="solver_rhs11" localSheetId="1" hidden="1">'해 찾기'!$L$5</definedName>
    <definedName name="solver_rhs12" localSheetId="1" hidden="1">'해 찾기'!$L$5</definedName>
    <definedName name="solver_rhs13" localSheetId="1" hidden="1">'해 찾기'!$L$5</definedName>
    <definedName name="solver_rhs14" localSheetId="1" hidden="1">'해 찾기'!$L$5</definedName>
    <definedName name="solver_rhs15" localSheetId="1" hidden="1">'해 찾기'!$L$5</definedName>
    <definedName name="solver_rhs16" localSheetId="1" hidden="1">'해 찾기'!$L$5</definedName>
    <definedName name="solver_rhs17" localSheetId="1" hidden="1">'해 찾기'!$L$5</definedName>
    <definedName name="solver_rhs18" localSheetId="1" hidden="1">'해 찾기'!$L$5</definedName>
    <definedName name="solver_rhs2" localSheetId="2" hidden="1">트럭단위운송비최소화!$K$2</definedName>
    <definedName name="solver_rhs2" localSheetId="1" hidden="1">"정수"</definedName>
    <definedName name="solver_rhs3" localSheetId="2" hidden="1">트럭단위운송비최소화!$K$3</definedName>
    <definedName name="solver_rhs3" localSheetId="1" hidden="1">0</definedName>
    <definedName name="solver_rhs4" localSheetId="2" hidden="1">트럭단위운송비최소화!$K$4</definedName>
    <definedName name="solver_rhs4" localSheetId="1" hidden="1">'해 찾기'!$L$2:$L$5</definedName>
    <definedName name="solver_rhs5" localSheetId="2" hidden="1">트럭단위운송비최소화!$K$5</definedName>
    <definedName name="solver_rhs5" localSheetId="1" hidden="1">'해 찾기'!$L$5</definedName>
    <definedName name="solver_rhs6" localSheetId="2" hidden="1">트럭단위운송비최소화!$K$5</definedName>
    <definedName name="solver_rhs6" localSheetId="1" hidden="1">'해 찾기'!$L$5</definedName>
    <definedName name="solver_rhs7" localSheetId="1" hidden="1">'해 찾기'!$L$5</definedName>
    <definedName name="solver_rhs8" localSheetId="1" hidden="1">'해 찾기'!$L$5</definedName>
    <definedName name="solver_rhs9" localSheetId="1" hidden="1">'해 찾기'!$L$5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1" l="1"/>
  <c r="F3" i="11"/>
  <c r="F4" i="11"/>
  <c r="F5" i="11"/>
  <c r="F2" i="11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L5" i="4"/>
  <c r="F5" i="4"/>
  <c r="L4" i="4"/>
  <c r="F4" i="4"/>
  <c r="L3" i="4"/>
  <c r="F3" i="4"/>
  <c r="O1" i="4" s="1"/>
  <c r="L2" i="4"/>
  <c r="F2" i="4"/>
  <c r="G13" i="16"/>
  <c r="G12" i="16"/>
  <c r="G11" i="16"/>
  <c r="G10" i="16"/>
  <c r="G9" i="16"/>
  <c r="G8" i="16"/>
  <c r="G7" i="16"/>
  <c r="G6" i="16"/>
  <c r="M5" i="16"/>
  <c r="G5" i="16"/>
  <c r="M4" i="16"/>
  <c r="G4" i="16"/>
  <c r="M3" i="16"/>
  <c r="G3" i="16"/>
  <c r="M2" i="16"/>
  <c r="G2" i="16"/>
  <c r="P1" i="16" l="1"/>
</calcChain>
</file>

<file path=xl/sharedStrings.xml><?xml version="1.0" encoding="utf-8"?>
<sst xmlns="http://schemas.openxmlformats.org/spreadsheetml/2006/main" count="217" uniqueCount="25">
  <si>
    <t>운송사</t>
    <phoneticPr fontId="2" type="noConversion"/>
  </si>
  <si>
    <t>운송구간</t>
    <phoneticPr fontId="3" type="noConversion"/>
  </si>
  <si>
    <t>트럭유형</t>
    <phoneticPr fontId="3" type="noConversion"/>
  </si>
  <si>
    <t>구간01</t>
  </si>
  <si>
    <t>구간01</t>
    <phoneticPr fontId="2" type="noConversion"/>
  </si>
  <si>
    <t>트럭01</t>
  </si>
  <si>
    <t>트럭01</t>
    <phoneticPr fontId="2" type="noConversion"/>
  </si>
  <si>
    <t>선택여부</t>
    <phoneticPr fontId="3" type="noConversion"/>
  </si>
  <si>
    <t>필요대수</t>
    <phoneticPr fontId="3" type="noConversion"/>
  </si>
  <si>
    <t>트럭02</t>
  </si>
  <si>
    <t>트럭02</t>
    <phoneticPr fontId="2" type="noConversion"/>
  </si>
  <si>
    <t>구간02</t>
  </si>
  <si>
    <t>구간02</t>
    <phoneticPr fontId="2" type="noConversion"/>
  </si>
  <si>
    <t>운송사03</t>
    <phoneticPr fontId="2" type="noConversion"/>
  </si>
  <si>
    <t>총 선택대수</t>
    <phoneticPr fontId="3" type="noConversion"/>
  </si>
  <si>
    <t>목적식</t>
    <phoneticPr fontId="2" type="noConversion"/>
  </si>
  <si>
    <t>운송사01</t>
    <phoneticPr fontId="2" type="noConversion"/>
  </si>
  <si>
    <t>운송사02</t>
    <phoneticPr fontId="2" type="noConversion"/>
  </si>
  <si>
    <t>트럭대수</t>
    <phoneticPr fontId="2" type="noConversion"/>
  </si>
  <si>
    <t>선택운송비</t>
    <phoneticPr fontId="2" type="noConversion"/>
  </si>
  <si>
    <t>운송사01</t>
  </si>
  <si>
    <t>운송사02</t>
  </si>
  <si>
    <t>운송단가</t>
    <phoneticPr fontId="3" type="noConversion"/>
  </si>
  <si>
    <t>선택대수</t>
    <phoneticPr fontId="2" type="noConversion"/>
  </si>
  <si>
    <t>운송비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</si>
</sst>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2" borderId="1" xfId="2" applyNumberFormat="1" applyFont="1" applyFill="1" applyBorder="1" applyAlignment="1">
      <alignment horizontal="center" vertical="center"/>
    </xf>
    <xf numFmtId="0" fontId="0" fillId="2" borderId="1" xfId="3" applyNumberFormat="1" applyFont="1" applyFill="1" applyBorder="1" applyAlignment="1">
      <alignment horizontal="center" vertical="center"/>
    </xf>
    <xf numFmtId="41" fontId="0" fillId="3" borderId="1" xfId="4" applyFont="1" applyFill="1" applyBorder="1" applyAlignment="1">
      <alignment horizontal="center" vertical="center"/>
    </xf>
    <xf numFmtId="41" fontId="0" fillId="2" borderId="1" xfId="4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0" fillId="4" borderId="1" xfId="3" applyNumberFormat="1" applyFont="1" applyFill="1" applyBorder="1" applyAlignment="1">
      <alignment horizontal="center" vertical="center"/>
    </xf>
    <xf numFmtId="41" fontId="0" fillId="4" borderId="1" xfId="4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41" fontId="1" fillId="0" borderId="1" xfId="1" applyNumberFormat="1" applyBorder="1" applyAlignment="1">
      <alignment horizontal="center" vertical="center"/>
    </xf>
    <xf numFmtId="0" fontId="0" fillId="5" borderId="1" xfId="2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1" fontId="4" fillId="0" borderId="1" xfId="1" applyNumberFormat="1" applyFont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1" xfId="0" applyNumberFormat="1" applyBorder="1">
      <alignment vertical="center"/>
    </xf>
  </cellXfs>
  <cellStyles count="5">
    <cellStyle name="백분율 2" xfId="3" xr:uid="{A48EBC77-73AA-4FB0-A72B-96A7289FDB21}"/>
    <cellStyle name="쉼표 [0]" xfId="4" builtinId="6"/>
    <cellStyle name="쉼표 [0] 2" xfId="2" xr:uid="{0A09A4EE-90BE-49BE-B7DA-FB138B67974F}"/>
    <cellStyle name="표준" xfId="0" builtinId="0"/>
    <cellStyle name="표준 2" xfId="1" xr:uid="{D07E8BAA-F796-4D23-858C-916A778F42E3}"/>
  </cellStyles>
  <dxfs count="0"/>
  <tableStyles count="1" defaultTableStyle="TableStyleMedium2" defaultPivotStyle="PivotStyleLight16">
    <tableStyle name="Invisible" pivot="0" table="0" count="0" xr9:uid="{7C26DDAB-2B63-4DC0-8F75-FA3565B136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A349-C756-40C7-9DFB-E499457D01E1}">
  <dimension ref="A1:J13"/>
  <sheetViews>
    <sheetView zoomScale="145" zoomScaleNormal="145" workbookViewId="0">
      <selection activeCell="G20" sqref="G20"/>
    </sheetView>
  </sheetViews>
  <sheetFormatPr defaultRowHeight="16.5" x14ac:dyDescent="0.3"/>
  <cols>
    <col min="6" max="6" width="8.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7" t="s">
        <v>22</v>
      </c>
      <c r="E1" s="3" t="s">
        <v>18</v>
      </c>
      <c r="H1" s="3" t="s">
        <v>1</v>
      </c>
      <c r="I1" s="3" t="s">
        <v>2</v>
      </c>
      <c r="J1" s="3" t="s">
        <v>8</v>
      </c>
    </row>
    <row r="2" spans="1:10" x14ac:dyDescent="0.3">
      <c r="A2" s="2" t="s">
        <v>16</v>
      </c>
      <c r="B2" s="5" t="s">
        <v>4</v>
      </c>
      <c r="C2" s="6" t="s">
        <v>6</v>
      </c>
      <c r="D2" s="8">
        <v>100</v>
      </c>
      <c r="E2" s="15">
        <v>2</v>
      </c>
      <c r="H2" s="5" t="s">
        <v>4</v>
      </c>
      <c r="I2" s="6" t="s">
        <v>6</v>
      </c>
      <c r="J2" s="6">
        <v>2</v>
      </c>
    </row>
    <row r="3" spans="1:10" x14ac:dyDescent="0.3">
      <c r="A3" s="2" t="s">
        <v>17</v>
      </c>
      <c r="B3" s="5" t="s">
        <v>3</v>
      </c>
      <c r="C3" s="6" t="s">
        <v>5</v>
      </c>
      <c r="D3" s="8">
        <v>150</v>
      </c>
      <c r="E3" s="15">
        <v>2</v>
      </c>
      <c r="H3" s="5" t="s">
        <v>4</v>
      </c>
      <c r="I3" s="6" t="s">
        <v>10</v>
      </c>
      <c r="J3" s="6">
        <v>2</v>
      </c>
    </row>
    <row r="4" spans="1:10" x14ac:dyDescent="0.3">
      <c r="A4" s="2" t="s">
        <v>13</v>
      </c>
      <c r="B4" s="5" t="s">
        <v>3</v>
      </c>
      <c r="C4" s="6" t="s">
        <v>5</v>
      </c>
      <c r="D4" s="8">
        <v>200</v>
      </c>
      <c r="E4" s="15">
        <v>2</v>
      </c>
      <c r="H4" s="5" t="s">
        <v>12</v>
      </c>
      <c r="I4" s="6" t="s">
        <v>6</v>
      </c>
      <c r="J4" s="6">
        <v>2</v>
      </c>
    </row>
    <row r="5" spans="1:10" x14ac:dyDescent="0.3">
      <c r="A5" s="2" t="s">
        <v>16</v>
      </c>
      <c r="B5" s="5" t="s">
        <v>4</v>
      </c>
      <c r="C5" s="10" t="s">
        <v>10</v>
      </c>
      <c r="D5" s="11">
        <v>100</v>
      </c>
      <c r="E5" s="15">
        <v>2</v>
      </c>
      <c r="H5" s="5" t="s">
        <v>12</v>
      </c>
      <c r="I5" s="6" t="s">
        <v>10</v>
      </c>
      <c r="J5" s="6">
        <v>2</v>
      </c>
    </row>
    <row r="6" spans="1:10" x14ac:dyDescent="0.3">
      <c r="A6" s="2" t="s">
        <v>17</v>
      </c>
      <c r="B6" s="5" t="s">
        <v>3</v>
      </c>
      <c r="C6" s="10" t="s">
        <v>9</v>
      </c>
      <c r="D6" s="11">
        <v>150</v>
      </c>
      <c r="E6" s="15">
        <v>2</v>
      </c>
    </row>
    <row r="7" spans="1:10" x14ac:dyDescent="0.3">
      <c r="A7" s="2" t="s">
        <v>13</v>
      </c>
      <c r="B7" s="5" t="s">
        <v>3</v>
      </c>
      <c r="C7" s="10" t="s">
        <v>9</v>
      </c>
      <c r="D7" s="11">
        <v>200</v>
      </c>
      <c r="E7" s="15">
        <v>2</v>
      </c>
    </row>
    <row r="8" spans="1:10" x14ac:dyDescent="0.3">
      <c r="A8" s="2" t="s">
        <v>16</v>
      </c>
      <c r="B8" s="14" t="s">
        <v>12</v>
      </c>
      <c r="C8" s="6" t="s">
        <v>6</v>
      </c>
      <c r="D8" s="8">
        <v>100</v>
      </c>
      <c r="E8" s="15">
        <v>2</v>
      </c>
    </row>
    <row r="9" spans="1:10" x14ac:dyDescent="0.3">
      <c r="A9" s="2" t="s">
        <v>17</v>
      </c>
      <c r="B9" s="14" t="s">
        <v>11</v>
      </c>
      <c r="C9" s="6" t="s">
        <v>5</v>
      </c>
      <c r="D9" s="8">
        <v>150</v>
      </c>
      <c r="E9" s="15">
        <v>2</v>
      </c>
    </row>
    <row r="10" spans="1:10" x14ac:dyDescent="0.3">
      <c r="A10" s="2" t="s">
        <v>13</v>
      </c>
      <c r="B10" s="14" t="s">
        <v>11</v>
      </c>
      <c r="C10" s="6" t="s">
        <v>5</v>
      </c>
      <c r="D10" s="8">
        <v>200</v>
      </c>
      <c r="E10" s="15">
        <v>2</v>
      </c>
    </row>
    <row r="11" spans="1:10" x14ac:dyDescent="0.3">
      <c r="A11" s="9" t="s">
        <v>16</v>
      </c>
      <c r="B11" s="14" t="s">
        <v>11</v>
      </c>
      <c r="C11" s="10" t="s">
        <v>10</v>
      </c>
      <c r="D11" s="11">
        <v>700</v>
      </c>
      <c r="E11" s="15">
        <v>2</v>
      </c>
    </row>
    <row r="12" spans="1:10" x14ac:dyDescent="0.3">
      <c r="A12" s="9" t="s">
        <v>17</v>
      </c>
      <c r="B12" s="14" t="s">
        <v>11</v>
      </c>
      <c r="C12" s="10" t="s">
        <v>9</v>
      </c>
      <c r="D12" s="11">
        <v>350</v>
      </c>
      <c r="E12" s="15">
        <v>2</v>
      </c>
    </row>
    <row r="13" spans="1:10" x14ac:dyDescent="0.3">
      <c r="A13" s="9" t="s">
        <v>13</v>
      </c>
      <c r="B13" s="14" t="s">
        <v>11</v>
      </c>
      <c r="C13" s="10" t="s">
        <v>9</v>
      </c>
      <c r="D13" s="11">
        <v>400</v>
      </c>
      <c r="E13" s="15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6807-D827-4E44-BBF5-003369FCC7CA}">
  <dimension ref="A1:P15"/>
  <sheetViews>
    <sheetView tabSelected="1" zoomScale="130" zoomScaleNormal="130" workbookViewId="0">
      <selection activeCell="J12" sqref="J12"/>
    </sheetView>
  </sheetViews>
  <sheetFormatPr defaultRowHeight="16.5" x14ac:dyDescent="0.3"/>
  <cols>
    <col min="13" max="13" width="11.6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7" t="s">
        <v>22</v>
      </c>
      <c r="E1" s="3" t="s">
        <v>18</v>
      </c>
      <c r="F1" s="3" t="s">
        <v>23</v>
      </c>
      <c r="G1" s="7" t="s">
        <v>19</v>
      </c>
      <c r="H1" s="4"/>
      <c r="I1" s="4"/>
      <c r="J1" s="3" t="s">
        <v>1</v>
      </c>
      <c r="K1" s="3" t="s">
        <v>2</v>
      </c>
      <c r="L1" s="3" t="s">
        <v>8</v>
      </c>
      <c r="M1" s="3" t="s">
        <v>14</v>
      </c>
      <c r="N1" s="4"/>
      <c r="O1" s="17" t="s">
        <v>15</v>
      </c>
      <c r="P1" s="16">
        <f>SUM(G:G)</f>
        <v>2100</v>
      </c>
    </row>
    <row r="2" spans="1:16" x14ac:dyDescent="0.3">
      <c r="A2" s="2" t="s">
        <v>16</v>
      </c>
      <c r="B2" s="5" t="s">
        <v>4</v>
      </c>
      <c r="C2" s="6" t="s">
        <v>6</v>
      </c>
      <c r="D2" s="8">
        <v>100</v>
      </c>
      <c r="E2" s="15">
        <v>2</v>
      </c>
      <c r="F2" s="15">
        <v>2</v>
      </c>
      <c r="G2" s="13">
        <f>D2*F2</f>
        <v>200</v>
      </c>
      <c r="H2" s="1"/>
      <c r="I2" s="1"/>
      <c r="J2" s="5" t="s">
        <v>4</v>
      </c>
      <c r="K2" s="6" t="s">
        <v>6</v>
      </c>
      <c r="L2" s="6">
        <v>7</v>
      </c>
      <c r="M2" s="12">
        <f>SUMIFS(F:F, B:B, J2, C:C, K2)</f>
        <v>6</v>
      </c>
      <c r="N2" s="1"/>
      <c r="O2" s="1"/>
      <c r="P2" s="1"/>
    </row>
    <row r="3" spans="1:16" x14ac:dyDescent="0.3">
      <c r="A3" s="2" t="s">
        <v>17</v>
      </c>
      <c r="B3" s="5" t="s">
        <v>3</v>
      </c>
      <c r="C3" s="6" t="s">
        <v>5</v>
      </c>
      <c r="D3" s="8">
        <v>150</v>
      </c>
      <c r="E3" s="15">
        <v>2</v>
      </c>
      <c r="F3" s="15">
        <v>2</v>
      </c>
      <c r="G3" s="13">
        <f t="shared" ref="G3:G13" si="0">D3*F3</f>
        <v>300</v>
      </c>
      <c r="H3" s="1"/>
      <c r="I3" s="1"/>
      <c r="J3" s="5" t="s">
        <v>4</v>
      </c>
      <c r="K3" s="6" t="s">
        <v>10</v>
      </c>
      <c r="L3" s="6">
        <v>2</v>
      </c>
      <c r="M3" s="12">
        <f t="shared" ref="M3:M5" si="1">SUMIFS(F:F, B:B, J3, C:C, K3)</f>
        <v>2</v>
      </c>
      <c r="N3" s="1"/>
      <c r="O3" s="1"/>
      <c r="P3" s="1"/>
    </row>
    <row r="4" spans="1:16" x14ac:dyDescent="0.3">
      <c r="A4" s="2" t="s">
        <v>13</v>
      </c>
      <c r="B4" s="5" t="s">
        <v>3</v>
      </c>
      <c r="C4" s="6" t="s">
        <v>5</v>
      </c>
      <c r="D4" s="8">
        <v>200</v>
      </c>
      <c r="E4" s="15">
        <v>2</v>
      </c>
      <c r="F4" s="15">
        <v>2</v>
      </c>
      <c r="G4" s="13">
        <f t="shared" si="0"/>
        <v>400</v>
      </c>
      <c r="H4" s="1"/>
      <c r="I4" s="1"/>
      <c r="J4" s="5" t="s">
        <v>12</v>
      </c>
      <c r="K4" s="6" t="s">
        <v>6</v>
      </c>
      <c r="L4" s="6">
        <v>2</v>
      </c>
      <c r="M4" s="12">
        <f t="shared" si="1"/>
        <v>2</v>
      </c>
      <c r="N4" s="1"/>
      <c r="O4" s="1"/>
      <c r="P4" s="1"/>
    </row>
    <row r="5" spans="1:16" x14ac:dyDescent="0.3">
      <c r="A5" s="2" t="s">
        <v>16</v>
      </c>
      <c r="B5" s="5" t="s">
        <v>4</v>
      </c>
      <c r="C5" s="10" t="s">
        <v>10</v>
      </c>
      <c r="D5" s="11">
        <v>100</v>
      </c>
      <c r="E5" s="15">
        <v>2</v>
      </c>
      <c r="F5" s="15">
        <v>2</v>
      </c>
      <c r="G5" s="13">
        <f t="shared" si="0"/>
        <v>200</v>
      </c>
      <c r="H5" s="1"/>
      <c r="I5" s="1"/>
      <c r="J5" s="5" t="s">
        <v>12</v>
      </c>
      <c r="K5" s="6" t="s">
        <v>10</v>
      </c>
      <c r="L5" s="6">
        <v>2</v>
      </c>
      <c r="M5" s="12">
        <f t="shared" si="1"/>
        <v>2</v>
      </c>
      <c r="N5" s="1"/>
      <c r="O5" s="1"/>
      <c r="P5" s="1"/>
    </row>
    <row r="6" spans="1:16" x14ac:dyDescent="0.3">
      <c r="A6" s="2" t="s">
        <v>17</v>
      </c>
      <c r="B6" s="5" t="s">
        <v>3</v>
      </c>
      <c r="C6" s="10" t="s">
        <v>9</v>
      </c>
      <c r="D6" s="11">
        <v>150</v>
      </c>
      <c r="E6" s="15">
        <v>2</v>
      </c>
      <c r="F6" s="15">
        <v>0</v>
      </c>
      <c r="G6" s="13">
        <f t="shared" si="0"/>
        <v>0</v>
      </c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2" t="s">
        <v>13</v>
      </c>
      <c r="B7" s="5" t="s">
        <v>3</v>
      </c>
      <c r="C7" s="10" t="s">
        <v>9</v>
      </c>
      <c r="D7" s="11">
        <v>200</v>
      </c>
      <c r="E7" s="15">
        <v>2</v>
      </c>
      <c r="F7" s="15">
        <v>0</v>
      </c>
      <c r="G7" s="13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2" t="s">
        <v>16</v>
      </c>
      <c r="B8" s="14" t="s">
        <v>12</v>
      </c>
      <c r="C8" s="6" t="s">
        <v>6</v>
      </c>
      <c r="D8" s="8">
        <v>100</v>
      </c>
      <c r="E8" s="15">
        <v>2</v>
      </c>
      <c r="F8" s="15">
        <v>2</v>
      </c>
      <c r="G8" s="13">
        <f t="shared" si="0"/>
        <v>200</v>
      </c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2" t="s">
        <v>17</v>
      </c>
      <c r="B9" s="14" t="s">
        <v>11</v>
      </c>
      <c r="C9" s="6" t="s">
        <v>5</v>
      </c>
      <c r="D9" s="8">
        <v>150</v>
      </c>
      <c r="E9" s="15">
        <v>2</v>
      </c>
      <c r="F9" s="15">
        <v>0</v>
      </c>
      <c r="G9" s="13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" t="s">
        <v>13</v>
      </c>
      <c r="B10" s="14" t="s">
        <v>11</v>
      </c>
      <c r="C10" s="6" t="s">
        <v>5</v>
      </c>
      <c r="D10" s="8">
        <v>200</v>
      </c>
      <c r="E10" s="15">
        <v>2</v>
      </c>
      <c r="F10" s="15">
        <v>0</v>
      </c>
      <c r="G10" s="13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9" t="s">
        <v>16</v>
      </c>
      <c r="B11" s="14" t="s">
        <v>11</v>
      </c>
      <c r="C11" s="10" t="s">
        <v>10</v>
      </c>
      <c r="D11" s="11">
        <v>700</v>
      </c>
      <c r="E11" s="15">
        <v>2</v>
      </c>
      <c r="F11" s="15">
        <v>0</v>
      </c>
      <c r="G11" s="13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9" t="s">
        <v>17</v>
      </c>
      <c r="B12" s="14" t="s">
        <v>11</v>
      </c>
      <c r="C12" s="10" t="s">
        <v>9</v>
      </c>
      <c r="D12" s="11">
        <v>350</v>
      </c>
      <c r="E12" s="15">
        <v>2</v>
      </c>
      <c r="F12" s="15">
        <v>0</v>
      </c>
      <c r="G12" s="13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9" t="s">
        <v>13</v>
      </c>
      <c r="B13" s="14" t="s">
        <v>11</v>
      </c>
      <c r="C13" s="10" t="s">
        <v>9</v>
      </c>
      <c r="D13" s="11">
        <v>400</v>
      </c>
      <c r="E13" s="15">
        <v>2</v>
      </c>
      <c r="F13" s="15">
        <v>2</v>
      </c>
      <c r="G13" s="13">
        <f t="shared" si="0"/>
        <v>800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I14" s="1"/>
      <c r="J14" s="1"/>
      <c r="K14" s="1"/>
      <c r="L14" s="1"/>
      <c r="M14" s="1"/>
      <c r="N14" s="1"/>
    </row>
    <row r="15" spans="1:16" x14ac:dyDescent="0.3">
      <c r="I15" s="1"/>
      <c r="J15" s="1"/>
      <c r="K15" s="1"/>
      <c r="L15" s="1"/>
      <c r="M15" s="1"/>
      <c r="N15" s="1"/>
    </row>
  </sheetData>
  <scenarios current="0">
    <scenario name="운송비최적화01" count="12" user="황박사" comment="만든 사람 황박사 날짜 7/30/2024">
      <inputCells r="E2" val="0"/>
      <inputCells r="E3" val="0"/>
      <inputCells r="E4" val="1"/>
      <inputCells r="E5" val="0"/>
      <inputCells r="E6" val="1"/>
      <inputCells r="E7" val="1"/>
      <inputCells r="E8" val="0"/>
      <inputCells r="E9" val="0"/>
      <inputCells r="E10" val="0"/>
      <inputCells r="E11" val="1"/>
      <inputCells r="E12" val="1"/>
      <inputCells r="E13" val="1"/>
    </scenario>
    <scenario name="운송비최소화01" count="12" user="황박사" comment="만든 사람 황박사 날짜 7/30/2024">
      <inputCells r="E2" val="1"/>
      <inputCells r="E3" val="1"/>
      <inputCells r="E4" val="1"/>
      <inputCells r="E5" val="0"/>
      <inputCells r="E6" val="0"/>
      <inputCells r="E7" val="0"/>
      <inputCells r="E8" val="1"/>
      <inputCells r="E9" val="1"/>
      <inputCells r="E10" val="0"/>
      <inputCells r="E11" val="1"/>
      <inputCells r="E12" val="0"/>
      <inputCells r="E13" val="0"/>
    </scenario>
  </scenario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B115-E183-4356-89C3-43F96D70BA84}">
  <dimension ref="A1:O25"/>
  <sheetViews>
    <sheetView zoomScale="130" zoomScaleNormal="130" workbookViewId="0">
      <selection activeCell="F2" sqref="F2"/>
    </sheetView>
  </sheetViews>
  <sheetFormatPr defaultRowHeight="16.5" x14ac:dyDescent="0.3"/>
  <cols>
    <col min="12" max="12" width="11.6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7" t="s">
        <v>22</v>
      </c>
      <c r="E1" s="7" t="s">
        <v>7</v>
      </c>
      <c r="F1" s="7" t="s">
        <v>19</v>
      </c>
      <c r="G1" s="4"/>
      <c r="H1" s="4"/>
      <c r="I1" s="3" t="s">
        <v>1</v>
      </c>
      <c r="J1" s="3" t="s">
        <v>2</v>
      </c>
      <c r="K1" s="3" t="s">
        <v>8</v>
      </c>
      <c r="L1" s="3" t="s">
        <v>14</v>
      </c>
      <c r="M1" s="4"/>
      <c r="N1" s="17" t="s">
        <v>15</v>
      </c>
      <c r="O1" s="16">
        <f>SUM(F:F)</f>
        <v>1300</v>
      </c>
    </row>
    <row r="2" spans="1:15" x14ac:dyDescent="0.3">
      <c r="A2" s="2" t="s">
        <v>20</v>
      </c>
      <c r="B2" s="5" t="s">
        <v>4</v>
      </c>
      <c r="C2" s="6" t="s">
        <v>6</v>
      </c>
      <c r="D2" s="8">
        <v>100</v>
      </c>
      <c r="E2" s="2">
        <v>1</v>
      </c>
      <c r="F2" s="13">
        <f>D2*E2</f>
        <v>100</v>
      </c>
      <c r="G2" s="1"/>
      <c r="H2" s="1"/>
      <c r="I2" s="5" t="s">
        <v>4</v>
      </c>
      <c r="J2" s="6" t="s">
        <v>6</v>
      </c>
      <c r="K2" s="6">
        <v>2</v>
      </c>
      <c r="L2" s="12">
        <f>SUMIFS(E:E, B:B, I2, C:C, J2)</f>
        <v>2</v>
      </c>
      <c r="M2" s="1"/>
      <c r="N2" s="1"/>
      <c r="O2" s="1"/>
    </row>
    <row r="3" spans="1:15" x14ac:dyDescent="0.3">
      <c r="A3" s="2" t="s">
        <v>20</v>
      </c>
      <c r="B3" s="5" t="s">
        <v>4</v>
      </c>
      <c r="C3" s="6" t="s">
        <v>6</v>
      </c>
      <c r="D3" s="8">
        <v>100</v>
      </c>
      <c r="E3" s="2">
        <v>1</v>
      </c>
      <c r="F3" s="13">
        <f t="shared" ref="F3:F25" si="0">D3*E3</f>
        <v>100</v>
      </c>
      <c r="G3" s="1"/>
      <c r="H3" s="1"/>
      <c r="I3" s="5" t="s">
        <v>4</v>
      </c>
      <c r="J3" s="6" t="s">
        <v>10</v>
      </c>
      <c r="K3" s="6">
        <v>2</v>
      </c>
      <c r="L3" s="12">
        <f t="shared" ref="L3:L5" si="1">SUMIFS(E:E, B:B, I3, C:C, J3)</f>
        <v>2</v>
      </c>
      <c r="M3" s="1"/>
      <c r="N3" s="1"/>
      <c r="O3" s="1"/>
    </row>
    <row r="4" spans="1:15" x14ac:dyDescent="0.3">
      <c r="A4" s="2" t="s">
        <v>21</v>
      </c>
      <c r="B4" s="5" t="s">
        <v>3</v>
      </c>
      <c r="C4" s="6" t="s">
        <v>5</v>
      </c>
      <c r="D4" s="8">
        <v>150</v>
      </c>
      <c r="E4" s="2">
        <v>0</v>
      </c>
      <c r="F4" s="13">
        <f t="shared" si="0"/>
        <v>0</v>
      </c>
      <c r="G4" s="1"/>
      <c r="H4" s="1"/>
      <c r="I4" s="5" t="s">
        <v>12</v>
      </c>
      <c r="J4" s="6" t="s">
        <v>6</v>
      </c>
      <c r="K4" s="6">
        <v>2</v>
      </c>
      <c r="L4" s="12">
        <f t="shared" si="1"/>
        <v>2</v>
      </c>
      <c r="M4" s="1"/>
      <c r="N4" s="1"/>
      <c r="O4" s="1"/>
    </row>
    <row r="5" spans="1:15" x14ac:dyDescent="0.3">
      <c r="A5" s="2" t="s">
        <v>21</v>
      </c>
      <c r="B5" s="5" t="s">
        <v>3</v>
      </c>
      <c r="C5" s="6" t="s">
        <v>5</v>
      </c>
      <c r="D5" s="8">
        <v>150</v>
      </c>
      <c r="E5" s="2">
        <v>0</v>
      </c>
      <c r="F5" s="13">
        <f t="shared" si="0"/>
        <v>0</v>
      </c>
      <c r="G5" s="1"/>
      <c r="H5" s="1"/>
      <c r="I5" s="5" t="s">
        <v>12</v>
      </c>
      <c r="J5" s="6" t="s">
        <v>10</v>
      </c>
      <c r="K5" s="6">
        <v>2</v>
      </c>
      <c r="L5" s="12">
        <f t="shared" si="1"/>
        <v>2</v>
      </c>
      <c r="M5" s="1"/>
      <c r="N5" s="1"/>
      <c r="O5" s="1"/>
    </row>
    <row r="6" spans="1:15" x14ac:dyDescent="0.3">
      <c r="A6" s="2" t="s">
        <v>13</v>
      </c>
      <c r="B6" s="5" t="s">
        <v>3</v>
      </c>
      <c r="C6" s="6" t="s">
        <v>5</v>
      </c>
      <c r="D6" s="8">
        <v>200</v>
      </c>
      <c r="E6" s="2">
        <v>0</v>
      </c>
      <c r="F6" s="13">
        <f t="shared" si="0"/>
        <v>0</v>
      </c>
      <c r="G6" s="1"/>
      <c r="H6" s="1"/>
      <c r="I6" s="5"/>
      <c r="J6" s="6"/>
      <c r="K6" s="6"/>
      <c r="L6" s="12"/>
      <c r="M6" s="1"/>
      <c r="N6" s="1"/>
      <c r="O6" s="1"/>
    </row>
    <row r="7" spans="1:15" x14ac:dyDescent="0.3">
      <c r="A7" s="2" t="s">
        <v>13</v>
      </c>
      <c r="B7" s="5" t="s">
        <v>3</v>
      </c>
      <c r="C7" s="6" t="s">
        <v>5</v>
      </c>
      <c r="D7" s="8">
        <v>200</v>
      </c>
      <c r="E7" s="2">
        <v>0</v>
      </c>
      <c r="F7" s="13">
        <f t="shared" si="0"/>
        <v>0</v>
      </c>
      <c r="G7" s="1"/>
      <c r="H7" s="1"/>
      <c r="I7" s="5"/>
      <c r="J7" s="6"/>
      <c r="K7" s="6"/>
      <c r="L7" s="12"/>
      <c r="M7" s="1"/>
      <c r="N7" s="1"/>
      <c r="O7" s="1"/>
    </row>
    <row r="8" spans="1:15" x14ac:dyDescent="0.3">
      <c r="A8" s="2" t="s">
        <v>20</v>
      </c>
      <c r="B8" s="5" t="s">
        <v>4</v>
      </c>
      <c r="C8" s="10" t="s">
        <v>10</v>
      </c>
      <c r="D8" s="11">
        <v>100</v>
      </c>
      <c r="E8" s="2">
        <v>1</v>
      </c>
      <c r="F8" s="13">
        <f t="shared" si="0"/>
        <v>100</v>
      </c>
      <c r="G8" s="1"/>
      <c r="H8" s="1"/>
      <c r="I8" s="5"/>
      <c r="J8" s="6"/>
      <c r="K8" s="6"/>
      <c r="L8" s="12"/>
      <c r="M8" s="1"/>
      <c r="N8" s="1"/>
      <c r="O8" s="1"/>
    </row>
    <row r="9" spans="1:15" x14ac:dyDescent="0.3">
      <c r="A9" s="2" t="s">
        <v>20</v>
      </c>
      <c r="B9" s="5" t="s">
        <v>4</v>
      </c>
      <c r="C9" s="10" t="s">
        <v>10</v>
      </c>
      <c r="D9" s="11">
        <v>100</v>
      </c>
      <c r="E9" s="2">
        <v>1</v>
      </c>
      <c r="F9" s="13">
        <f t="shared" si="0"/>
        <v>100</v>
      </c>
      <c r="G9" s="1"/>
      <c r="H9" s="1"/>
      <c r="I9" s="5"/>
      <c r="J9" s="6"/>
      <c r="K9" s="6"/>
      <c r="L9" s="12"/>
      <c r="M9" s="1"/>
      <c r="N9" s="1"/>
      <c r="O9" s="1"/>
    </row>
    <row r="10" spans="1:15" x14ac:dyDescent="0.3">
      <c r="A10" s="2" t="s">
        <v>21</v>
      </c>
      <c r="B10" s="5" t="s">
        <v>3</v>
      </c>
      <c r="C10" s="10" t="s">
        <v>9</v>
      </c>
      <c r="D10" s="11">
        <v>150</v>
      </c>
      <c r="E10" s="2">
        <v>0</v>
      </c>
      <c r="F10" s="13">
        <f t="shared" si="0"/>
        <v>0</v>
      </c>
      <c r="G10" s="1"/>
      <c r="H10" s="1"/>
      <c r="I10" s="5"/>
      <c r="J10" s="6"/>
      <c r="K10" s="6"/>
      <c r="L10" s="12"/>
      <c r="M10" s="1"/>
      <c r="N10" s="1"/>
      <c r="O10" s="1"/>
    </row>
    <row r="11" spans="1:15" x14ac:dyDescent="0.3">
      <c r="A11" s="2" t="s">
        <v>21</v>
      </c>
      <c r="B11" s="5" t="s">
        <v>3</v>
      </c>
      <c r="C11" s="10" t="s">
        <v>9</v>
      </c>
      <c r="D11" s="11">
        <v>150</v>
      </c>
      <c r="E11" s="2">
        <v>0</v>
      </c>
      <c r="F11" s="13">
        <f t="shared" si="0"/>
        <v>0</v>
      </c>
      <c r="G11" s="1"/>
      <c r="H11" s="1"/>
      <c r="I11" s="5"/>
      <c r="J11" s="6"/>
      <c r="K11" s="6"/>
      <c r="L11" s="12"/>
      <c r="M11" s="1"/>
      <c r="N11" s="1"/>
      <c r="O11" s="1"/>
    </row>
    <row r="12" spans="1:15" x14ac:dyDescent="0.3">
      <c r="A12" s="2" t="s">
        <v>13</v>
      </c>
      <c r="B12" s="5" t="s">
        <v>3</v>
      </c>
      <c r="C12" s="10" t="s">
        <v>9</v>
      </c>
      <c r="D12" s="11">
        <v>200</v>
      </c>
      <c r="E12" s="2">
        <v>0</v>
      </c>
      <c r="F12" s="13">
        <f t="shared" si="0"/>
        <v>0</v>
      </c>
      <c r="G12" s="1"/>
      <c r="H12" s="1"/>
      <c r="I12" s="5"/>
      <c r="J12" s="6"/>
      <c r="K12" s="6"/>
      <c r="L12" s="12"/>
      <c r="M12" s="1"/>
      <c r="N12" s="1"/>
      <c r="O12" s="1"/>
    </row>
    <row r="13" spans="1:15" x14ac:dyDescent="0.3">
      <c r="A13" s="2" t="s">
        <v>13</v>
      </c>
      <c r="B13" s="5" t="s">
        <v>3</v>
      </c>
      <c r="C13" s="10" t="s">
        <v>9</v>
      </c>
      <c r="D13" s="11">
        <v>200</v>
      </c>
      <c r="E13" s="2">
        <v>0</v>
      </c>
      <c r="F13" s="13">
        <f t="shared" si="0"/>
        <v>0</v>
      </c>
      <c r="G13" s="1"/>
      <c r="H13" s="1"/>
      <c r="I13" s="5"/>
      <c r="J13" s="6"/>
      <c r="K13" s="6"/>
      <c r="L13" s="12"/>
      <c r="M13" s="1"/>
      <c r="N13" s="1"/>
      <c r="O13" s="1"/>
    </row>
    <row r="14" spans="1:15" x14ac:dyDescent="0.3">
      <c r="A14" s="2" t="s">
        <v>20</v>
      </c>
      <c r="B14" s="14" t="s">
        <v>12</v>
      </c>
      <c r="C14" s="6" t="s">
        <v>6</v>
      </c>
      <c r="D14" s="8">
        <v>100</v>
      </c>
      <c r="E14" s="2">
        <v>1</v>
      </c>
      <c r="F14" s="13">
        <f t="shared" si="0"/>
        <v>100</v>
      </c>
      <c r="G14" s="1"/>
      <c r="H14" s="1"/>
      <c r="I14" s="5"/>
      <c r="J14" s="6"/>
      <c r="K14" s="6"/>
      <c r="L14" s="12"/>
      <c r="M14" s="1"/>
      <c r="N14" s="1"/>
      <c r="O14" s="1"/>
    </row>
    <row r="15" spans="1:15" x14ac:dyDescent="0.3">
      <c r="A15" s="2" t="s">
        <v>20</v>
      </c>
      <c r="B15" s="14" t="s">
        <v>12</v>
      </c>
      <c r="C15" s="6" t="s">
        <v>6</v>
      </c>
      <c r="D15" s="8">
        <v>100</v>
      </c>
      <c r="E15" s="2">
        <v>1</v>
      </c>
      <c r="F15" s="13">
        <f t="shared" si="0"/>
        <v>100</v>
      </c>
      <c r="G15" s="1"/>
      <c r="H15" s="1"/>
      <c r="I15" s="5"/>
      <c r="J15" s="6"/>
      <c r="K15" s="6"/>
      <c r="L15" s="12"/>
      <c r="M15" s="1"/>
      <c r="N15" s="1"/>
      <c r="O15" s="1"/>
    </row>
    <row r="16" spans="1:15" x14ac:dyDescent="0.3">
      <c r="A16" s="2" t="s">
        <v>21</v>
      </c>
      <c r="B16" s="14" t="s">
        <v>11</v>
      </c>
      <c r="C16" s="6" t="s">
        <v>5</v>
      </c>
      <c r="D16" s="8">
        <v>150</v>
      </c>
      <c r="E16" s="2">
        <v>0</v>
      </c>
      <c r="F16" s="13">
        <f t="shared" si="0"/>
        <v>0</v>
      </c>
      <c r="G16" s="1"/>
      <c r="H16" s="1"/>
      <c r="I16" s="5"/>
      <c r="J16" s="6"/>
      <c r="K16" s="6"/>
      <c r="L16" s="12"/>
      <c r="M16" s="1"/>
      <c r="N16" s="1"/>
      <c r="O16" s="1"/>
    </row>
    <row r="17" spans="1:15" x14ac:dyDescent="0.3">
      <c r="A17" s="2" t="s">
        <v>21</v>
      </c>
      <c r="B17" s="14" t="s">
        <v>11</v>
      </c>
      <c r="C17" s="6" t="s">
        <v>5</v>
      </c>
      <c r="D17" s="8">
        <v>150</v>
      </c>
      <c r="E17" s="2">
        <v>0</v>
      </c>
      <c r="F17" s="13">
        <f t="shared" si="0"/>
        <v>0</v>
      </c>
      <c r="G17" s="1"/>
      <c r="H17" s="1"/>
      <c r="I17" s="5"/>
      <c r="J17" s="6"/>
      <c r="K17" s="6"/>
      <c r="L17" s="12"/>
      <c r="M17" s="1"/>
      <c r="N17" s="1"/>
      <c r="O17" s="1"/>
    </row>
    <row r="18" spans="1:15" x14ac:dyDescent="0.3">
      <c r="A18" s="2" t="s">
        <v>13</v>
      </c>
      <c r="B18" s="14" t="s">
        <v>11</v>
      </c>
      <c r="C18" s="6" t="s">
        <v>5</v>
      </c>
      <c r="D18" s="8">
        <v>200</v>
      </c>
      <c r="E18" s="2">
        <v>0</v>
      </c>
      <c r="F18" s="13">
        <f t="shared" si="0"/>
        <v>0</v>
      </c>
      <c r="G18" s="1"/>
      <c r="H18" s="1"/>
      <c r="I18" s="5"/>
      <c r="J18" s="6"/>
      <c r="K18" s="6"/>
      <c r="L18" s="12"/>
      <c r="M18" s="1"/>
      <c r="N18" s="1"/>
      <c r="O18" s="1"/>
    </row>
    <row r="19" spans="1:15" x14ac:dyDescent="0.3">
      <c r="A19" s="2" t="s">
        <v>13</v>
      </c>
      <c r="B19" s="14" t="s">
        <v>11</v>
      </c>
      <c r="C19" s="6" t="s">
        <v>5</v>
      </c>
      <c r="D19" s="8">
        <v>200</v>
      </c>
      <c r="E19" s="2">
        <v>0</v>
      </c>
      <c r="F19" s="13">
        <f t="shared" si="0"/>
        <v>0</v>
      </c>
      <c r="G19" s="1"/>
      <c r="H19" s="1"/>
      <c r="I19" s="5"/>
      <c r="J19" s="6"/>
      <c r="K19" s="6"/>
      <c r="L19" s="12"/>
      <c r="M19" s="1"/>
      <c r="N19" s="1"/>
      <c r="O19" s="1"/>
    </row>
    <row r="20" spans="1:15" x14ac:dyDescent="0.3">
      <c r="A20" s="9" t="s">
        <v>20</v>
      </c>
      <c r="B20" s="14" t="s">
        <v>11</v>
      </c>
      <c r="C20" s="10" t="s">
        <v>10</v>
      </c>
      <c r="D20" s="11">
        <v>700</v>
      </c>
      <c r="E20" s="2">
        <v>0</v>
      </c>
      <c r="F20" s="13">
        <f t="shared" si="0"/>
        <v>0</v>
      </c>
      <c r="G20" s="1"/>
      <c r="H20" s="1"/>
      <c r="I20" s="5"/>
      <c r="J20" s="6"/>
      <c r="K20" s="6"/>
      <c r="L20" s="12"/>
      <c r="M20" s="1"/>
      <c r="N20" s="1"/>
      <c r="O20" s="1"/>
    </row>
    <row r="21" spans="1:15" x14ac:dyDescent="0.3">
      <c r="A21" s="9" t="s">
        <v>20</v>
      </c>
      <c r="B21" s="14" t="s">
        <v>11</v>
      </c>
      <c r="C21" s="10" t="s">
        <v>10</v>
      </c>
      <c r="D21" s="11">
        <v>700</v>
      </c>
      <c r="E21" s="2">
        <v>0</v>
      </c>
      <c r="F21" s="13">
        <f t="shared" si="0"/>
        <v>0</v>
      </c>
      <c r="G21" s="1"/>
      <c r="H21" s="1"/>
      <c r="I21" s="5"/>
      <c r="J21" s="6"/>
      <c r="K21" s="6"/>
      <c r="L21" s="12"/>
      <c r="M21" s="1"/>
      <c r="N21" s="1"/>
      <c r="O21" s="1"/>
    </row>
    <row r="22" spans="1:15" x14ac:dyDescent="0.3">
      <c r="A22" s="9" t="s">
        <v>21</v>
      </c>
      <c r="B22" s="14" t="s">
        <v>11</v>
      </c>
      <c r="C22" s="10" t="s">
        <v>9</v>
      </c>
      <c r="D22" s="11">
        <v>350</v>
      </c>
      <c r="E22" s="2">
        <v>1</v>
      </c>
      <c r="F22" s="13">
        <f t="shared" si="0"/>
        <v>350</v>
      </c>
      <c r="G22" s="1"/>
      <c r="H22" s="1"/>
      <c r="I22" s="5"/>
      <c r="J22" s="6"/>
      <c r="K22" s="6"/>
      <c r="L22" s="12"/>
      <c r="M22" s="1"/>
      <c r="N22" s="1"/>
      <c r="O22" s="1"/>
    </row>
    <row r="23" spans="1:15" x14ac:dyDescent="0.3">
      <c r="A23" s="9" t="s">
        <v>21</v>
      </c>
      <c r="B23" s="14" t="s">
        <v>11</v>
      </c>
      <c r="C23" s="10" t="s">
        <v>9</v>
      </c>
      <c r="D23" s="11">
        <v>350</v>
      </c>
      <c r="E23" s="2">
        <v>1</v>
      </c>
      <c r="F23" s="13">
        <f t="shared" si="0"/>
        <v>350</v>
      </c>
      <c r="G23" s="1"/>
      <c r="H23" s="1"/>
      <c r="I23" s="5"/>
      <c r="J23" s="6"/>
      <c r="K23" s="6"/>
      <c r="L23" s="12"/>
      <c r="M23" s="1"/>
      <c r="N23" s="1"/>
      <c r="O23" s="1"/>
    </row>
    <row r="24" spans="1:15" x14ac:dyDescent="0.3">
      <c r="A24" s="9" t="s">
        <v>13</v>
      </c>
      <c r="B24" s="14" t="s">
        <v>11</v>
      </c>
      <c r="C24" s="10" t="s">
        <v>9</v>
      </c>
      <c r="D24" s="11">
        <v>400</v>
      </c>
      <c r="E24" s="2">
        <v>0</v>
      </c>
      <c r="F24" s="13">
        <f t="shared" si="0"/>
        <v>0</v>
      </c>
      <c r="G24" s="1"/>
      <c r="H24" s="1"/>
      <c r="I24" s="5"/>
      <c r="J24" s="6"/>
      <c r="K24" s="6"/>
      <c r="L24" s="12"/>
      <c r="M24" s="1"/>
      <c r="N24" s="1"/>
      <c r="O24" s="1"/>
    </row>
    <row r="25" spans="1:15" x14ac:dyDescent="0.3">
      <c r="A25" s="9" t="s">
        <v>13</v>
      </c>
      <c r="B25" s="14" t="s">
        <v>11</v>
      </c>
      <c r="C25" s="10" t="s">
        <v>9</v>
      </c>
      <c r="D25" s="11">
        <v>400</v>
      </c>
      <c r="E25" s="2">
        <v>0</v>
      </c>
      <c r="F25" s="13">
        <f t="shared" si="0"/>
        <v>0</v>
      </c>
      <c r="G25" s="1"/>
      <c r="H25" s="1"/>
      <c r="I25" s="5"/>
      <c r="J25" s="6"/>
      <c r="K25" s="6"/>
      <c r="L25" s="12"/>
      <c r="M25" s="1"/>
      <c r="N25" s="1"/>
      <c r="O25" s="1"/>
    </row>
  </sheetData>
  <scenarios current="0">
    <scenario name="운송비최적화01" count="24" user="황박사" comment="만든 사람 황박사 날짜 7/30/2024">
      <inputCells r="E2" val="0"/>
      <inputCells r="E3" val="0"/>
      <inputCells r="E4" val="1"/>
      <inputCells r="E5" val="0"/>
      <inputCells r="E6" val="1"/>
      <inputCells r="E7" val="1"/>
      <inputCells r="E8" val="0"/>
      <inputCells r="E9" val="0"/>
      <inputCells r="E10" val="0"/>
      <inputCells r="E11" val="1"/>
      <inputCells r="E12" val="1"/>
      <inputCells r="E13" val="1"/>
      <inputCells r="E14" val="0"/>
      <inputCells r="E15" val="0"/>
      <inputCells r="E16" val="1"/>
      <inputCells r="E17" val="0"/>
      <inputCells r="E18" val="1"/>
      <inputCells r="E19" val="1"/>
      <inputCells r="E20" val="0"/>
      <inputCells r="E21" val="0"/>
      <inputCells r="E22" val="0"/>
      <inputCells r="E23" val="1"/>
      <inputCells r="E24" val="1"/>
      <inputCells r="E25" val="1"/>
    </scenario>
    <scenario name="운송비최소화01" count="24" user="황박사" comment="만든 사람 황박사 날짜 7/30/2024">
      <inputCells r="E2" val="1"/>
      <inputCells r="E3" val="1"/>
      <inputCells r="E4" val="1"/>
      <inputCells r="E5" val="0"/>
      <inputCells r="E6" val="0"/>
      <inputCells r="E7" val="0"/>
      <inputCells r="E8" val="1"/>
      <inputCells r="E9" val="1"/>
      <inputCells r="E10" val="0"/>
      <inputCells r="E11" val="1"/>
      <inputCells r="E12" val="0"/>
      <inputCells r="E13" val="0"/>
      <inputCells r="E14" val="1"/>
      <inputCells r="E15" val="1"/>
      <inputCells r="E16" val="1"/>
      <inputCells r="E17" val="0"/>
      <inputCells r="E18" val="0"/>
      <inputCells r="E19" val="0"/>
      <inputCells r="E20" val="1"/>
      <inputCells r="E21" val="1"/>
      <inputCells r="E22" val="0"/>
      <inputCells r="E23" val="1"/>
      <inputCells r="E24" val="0"/>
      <inputCells r="E25" val="0"/>
    </scenario>
  </scenario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92BB-87B0-4AB6-B8B3-2246E5AA10FF}">
  <dimension ref="A1:F6"/>
  <sheetViews>
    <sheetView zoomScale="145" zoomScaleNormal="145" workbookViewId="0">
      <selection activeCell="F21" sqref="F21"/>
    </sheetView>
  </sheetViews>
  <sheetFormatPr defaultRowHeight="16.5" x14ac:dyDescent="0.3"/>
  <cols>
    <col min="6" max="6" width="8.8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7" t="s">
        <v>22</v>
      </c>
      <c r="E1" s="3" t="s">
        <v>18</v>
      </c>
      <c r="F1" s="3" t="s">
        <v>24</v>
      </c>
    </row>
    <row r="2" spans="1:6" x14ac:dyDescent="0.3">
      <c r="A2" s="2" t="s">
        <v>16</v>
      </c>
      <c r="B2" s="5" t="s">
        <v>4</v>
      </c>
      <c r="C2" s="6" t="s">
        <v>6</v>
      </c>
      <c r="D2" s="8">
        <v>100</v>
      </c>
      <c r="E2" s="15">
        <v>2</v>
      </c>
      <c r="F2" s="19">
        <f>D2*E2</f>
        <v>200</v>
      </c>
    </row>
    <row r="3" spans="1:6" x14ac:dyDescent="0.3">
      <c r="A3" s="2" t="s">
        <v>16</v>
      </c>
      <c r="B3" s="5" t="s">
        <v>4</v>
      </c>
      <c r="C3" s="10" t="s">
        <v>10</v>
      </c>
      <c r="D3" s="11">
        <v>100</v>
      </c>
      <c r="E3" s="15">
        <v>2</v>
      </c>
      <c r="F3" s="19">
        <f t="shared" ref="F3:F5" si="0">D3*E3</f>
        <v>200</v>
      </c>
    </row>
    <row r="4" spans="1:6" x14ac:dyDescent="0.3">
      <c r="A4" s="2" t="s">
        <v>16</v>
      </c>
      <c r="B4" s="14" t="s">
        <v>12</v>
      </c>
      <c r="C4" s="6" t="s">
        <v>6</v>
      </c>
      <c r="D4" s="8">
        <v>100</v>
      </c>
      <c r="E4" s="15">
        <v>2</v>
      </c>
      <c r="F4" s="19">
        <f t="shared" si="0"/>
        <v>200</v>
      </c>
    </row>
    <row r="5" spans="1:6" x14ac:dyDescent="0.3">
      <c r="A5" s="9" t="s">
        <v>17</v>
      </c>
      <c r="B5" s="14" t="s">
        <v>11</v>
      </c>
      <c r="C5" s="10" t="s">
        <v>9</v>
      </c>
      <c r="D5" s="11">
        <v>350</v>
      </c>
      <c r="E5" s="15">
        <v>2</v>
      </c>
      <c r="F5" s="19">
        <f t="shared" si="0"/>
        <v>700</v>
      </c>
    </row>
    <row r="6" spans="1:6" x14ac:dyDescent="0.3">
      <c r="F6" s="18">
        <f>SUM(F2:F5)</f>
        <v>1300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기준정보</vt:lpstr>
      <vt:lpstr>해 찾기</vt:lpstr>
      <vt:lpstr>트럭단위운송비최소화</vt:lpstr>
      <vt:lpstr>단순최적화정답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LIM</dc:creator>
  <cp:lastModifiedBy>Hwang Jack</cp:lastModifiedBy>
  <dcterms:created xsi:type="dcterms:W3CDTF">2024-03-06T07:06:41Z</dcterms:created>
  <dcterms:modified xsi:type="dcterms:W3CDTF">2026-10-09T11:13:32Z</dcterms:modified>
</cp:coreProperties>
</file>